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体能力缺口" sheetId="1" state="visible" r:id="rId1"/>
    <sheet name="本平台独有的四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3864"/>
      <sz val="10"/>
    </font>
    <font>
      <name val="Arial"/>
      <i val="1"/>
      <color rgb="00C00000"/>
      <sz val="9"/>
    </font>
    <font>
      <name val="Arial"/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26" customWidth="1" min="4" max="4"/>
    <col width="34" customWidth="1" min="5" max="5"/>
    <col width="44" customWidth="1" min="6" max="6"/>
    <col width="15" customWidth="1" min="7" max="7"/>
    <col width="46" customWidth="1" min="8" max="8"/>
    <col width="34" customWidth="1" min="9" max="9"/>
  </cols>
  <sheetData>
    <row r="1">
      <c r="A1" s="1" t="inlineStr">
        <is>
          <t>企业级本体系统 · 能力缺口清单</t>
        </is>
      </c>
    </row>
    <row r="2">
      <c r="A2" s="2" t="inlineStr">
        <is>
          <t>左列＝业界参考产品公开文档能力集（2026-08 检索）；右列＝本会话真后端 / 真浏览器实测，逐条可复验。按 CLAUDE.md 铁律 0，不出现外部产品名。</t>
        </is>
      </c>
    </row>
    <row r="4" ht="32" customHeight="1">
      <c r="A4" s="3" t="inlineStr">
        <is>
          <t>#</t>
        </is>
      </c>
      <c r="B4" s="3" t="inlineStr">
        <is>
          <t>分级</t>
        </is>
      </c>
      <c r="C4" s="3" t="inlineStr">
        <is>
          <t>所属层</t>
        </is>
      </c>
      <c r="D4" s="3" t="inlineStr">
        <is>
          <t>缺口</t>
        </is>
      </c>
      <c r="E4" s="3" t="inlineStr">
        <is>
          <t>参考产品的能力</t>
        </is>
      </c>
      <c r="F4" s="3" t="inlineStr">
        <is>
          <t>本仓实测现状</t>
        </is>
      </c>
      <c r="G4" s="3" t="inlineStr">
        <is>
          <t>判定</t>
        </is>
      </c>
      <c r="H4" s="3" t="inlineStr">
        <is>
          <t>已付出的代价 / 后果</t>
        </is>
      </c>
      <c r="I4" s="3" t="inlineStr">
        <is>
          <t>处置</t>
        </is>
      </c>
    </row>
    <row r="5" ht="92" customHeight="1">
      <c r="A5" s="4" t="n">
        <v>1</v>
      </c>
      <c r="B5" s="5" t="inlineStr">
        <is>
          <t>阻塞</t>
        </is>
      </c>
      <c r="C5" s="4" t="inlineStr">
        <is>
          <t>语义层</t>
        </is>
      </c>
      <c r="D5" s="6" t="inlineStr">
        <is>
          <t>共享属性类型全系统 0 个</t>
        </is>
      </c>
      <c r="E5" s="7" t="inlineStr">
        <is>
          <t>Shared Property Type：可复用的属性定义，跨对象类型保持口径一致</t>
        </is>
      </c>
      <c r="F5" s="7" t="inlineStr">
        <is>
          <t>全系统 0 个。金丝雀过（interfaceKey 9 命中、DerivationSpec 16 命中，工具是活的）</t>
        </is>
      </c>
      <c r="G5" s="4" t="inlineStr">
        <is>
          <t>🔴 完全没有</t>
        </is>
      </c>
      <c r="H5" s="7" t="inlineStr">
        <is>
          <t>本会话两次实付：Line.utilization（0–100 百分点）与 Process.utilization（0–1 比率）同名不同量纲 → 屏上 100× 显示错；revenueWan / marginWan 名字说万元实为亿元 → 差 10⁴，700 亿会被读成 700 万</t>
        </is>
      </c>
      <c r="I5" s="7" t="inlineStr">
        <is>
          <t>待排单。刚补完 873 个属性的 unit 是治标，共享属性类型才是治本</t>
        </is>
      </c>
    </row>
    <row r="6" ht="92" customHeight="1">
      <c r="A6" s="4" t="n">
        <v>2</v>
      </c>
      <c r="B6" s="5" t="inlineStr">
        <is>
          <t>阻塞</t>
        </is>
      </c>
      <c r="C6" s="4" t="inlineStr">
        <is>
          <t>动力层</t>
        </is>
      </c>
      <c r="D6" s="6" t="inlineStr">
        <is>
          <t>11 类事件里 10 类不写世界态</t>
        </is>
      </c>
      <c r="E6" s="7" t="inlineStr">
        <is>
          <t>Action Type：一组对对象 / 属性 / 链路的改动 + 提交副作用</t>
        </is>
      </c>
      <c r="F6" s="7" t="inlineStr">
        <is>
          <t>只有 MATERIAL_REPRICE 打到世界态，其余 10 类只被路由到求解器（solverKey），一格世界态都不写</t>
        </is>
      </c>
      <c r="G6" s="4" t="inlineStr">
        <is>
          <t>🔴 名存实亡</t>
        </is>
      </c>
      <c r="H6" s="7" t="inlineStr">
        <is>
          <t>COO 实测：碳酸锂涨幅 +15%→+100%（6.7 倍），整屏逐字 diff 只差三样（输入回显、毫秒数、第三层卡点 370→372）。63 亿 / 53 张单 / 81 万套 / 18 处卡点，一个数都没动</t>
        </is>
      </c>
      <c r="I6" s="7" t="inlineStr">
        <is>
          <t>在跑（WO-EVENTS-WRITE-STATE，34 提交）。验收判据＝11 类 × 大小参数对照表，目标 1/11 翻过来</t>
        </is>
      </c>
    </row>
    <row r="7" ht="92" customHeight="1">
      <c r="A7" s="4" t="n">
        <v>3</v>
      </c>
      <c r="B7" s="5" t="inlineStr">
        <is>
          <t>阻塞</t>
        </is>
      </c>
      <c r="C7" s="4" t="inlineStr">
        <is>
          <t>运营层</t>
        </is>
      </c>
      <c r="D7" s="6" t="inlineStr">
        <is>
          <t>「99 条切片」把真路径与存根加在一起报</t>
        </is>
      </c>
      <c r="E7" s="7" t="inlineStr">
        <is>
          <t>Ontology 的取数路径应可数、可信</t>
        </is>
      </c>
      <c r="F7" s="7" t="inlineStr">
        <is>
          <t>99 条里只有 4 条是真业务切片（3–31 跳），其余 95 条是 hops=0 / paths:[] 的零跳存根，只为撑覆盖率指标</t>
        </is>
      </c>
      <c r="G7" s="4" t="inlineStr">
        <is>
          <t>🔴 数字误导</t>
        </is>
      </c>
      <c r="H7" s="7" t="inlineStr">
        <is>
          <t>第一屏的数在误导人（包括我自己据此误判过系统覆盖面）。两个切片页共用同一份实现，而切片集合交集＝0：注册表 99 条 vs 派生库 61 条，且名字次要的那个 61 条全有真 paths</t>
        </is>
      </c>
      <c r="I7" s="7" t="inlineStr">
        <is>
          <t>UX 已出整合方案（20 个导航目的地 → 5 页 + 1 画布 → 导航 7 条），待派实施单</t>
        </is>
      </c>
    </row>
    <row r="8" ht="92" customHeight="1">
      <c r="A8" s="4" t="n">
        <v>4</v>
      </c>
      <c r="B8" s="8" t="inlineStr">
        <is>
          <t>结构</t>
        </is>
      </c>
      <c r="C8" s="4" t="inlineStr">
        <is>
          <t>运营层</t>
        </is>
      </c>
      <c r="D8" s="6" t="inlineStr">
        <is>
          <t>没有本体分支与提案流程</t>
        </is>
      </c>
      <c r="E8" s="7" t="inlineStr">
        <is>
          <t>Branching / Ontology Proposals：改本体走提案 → 评审 → 发布三段</t>
        </is>
      </c>
      <c r="F8" s="7" t="inlineStr">
        <is>
          <t>今天改本体是直接改，没有提案 / 评审 / 发布</t>
        </is>
      </c>
      <c r="G8" s="4" t="inlineStr">
        <is>
          <t>🔴 没有</t>
        </is>
      </c>
      <c r="H8" s="7" t="inlineStr">
        <is>
          <t>本体改动无评审关口，改错只能事后发现</t>
        </is>
      </c>
      <c r="I8" s="7" t="inlineStr">
        <is>
          <t>待排单。UX 建议交数据工程师 / FDE</t>
        </is>
      </c>
    </row>
    <row r="9" ht="92" customHeight="1">
      <c r="A9" s="4" t="n">
        <v>5</v>
      </c>
      <c r="B9" s="8" t="inlineStr">
        <is>
          <t>结构</t>
        </is>
      </c>
      <c r="C9" s="4" t="inlineStr">
        <is>
          <t>动力层</t>
        </is>
      </c>
      <c r="D9" s="6" t="inlineStr">
        <is>
          <t>函数不是本体一等公民</t>
        </is>
      </c>
      <c r="E9" s="7" t="inlineStr">
        <is>
          <t>Function：吃对象 / 对象集、读属性，可被 action 与应用调用，与本体原生集成</t>
        </is>
      </c>
      <c r="F9" s="7" t="inlineStr">
        <is>
          <t>求解器（solvers）在承担这个角色，但没有「函数」这个本体概念；求解器与对象的绑定靠约定不靠声明</t>
        </is>
      </c>
      <c r="G9" s="4" t="inlineStr">
        <is>
          <t>◑ 形似神不似</t>
        </is>
      </c>
      <c r="H9" s="7" t="inlineStr">
        <is>
          <t>改名即断，且绑定关系不可被审计看见</t>
        </is>
      </c>
      <c r="I9" s="7" t="inlineStr">
        <is>
          <t>待排单</t>
        </is>
      </c>
    </row>
    <row r="10" ht="92" customHeight="1">
      <c r="A10" s="4" t="n">
        <v>6</v>
      </c>
      <c r="B10" s="8" t="inlineStr">
        <is>
          <t>结构</t>
        </is>
      </c>
      <c r="C10" s="4" t="inlineStr">
        <is>
          <t>语义层</t>
        </is>
      </c>
      <c r="D10" s="6" t="inlineStr">
        <is>
          <t>接口只有 1 个实例</t>
        </is>
      </c>
      <c r="E10" s="7" t="inlineStr">
        <is>
          <t>Interface：描述对象「形状与能力」，让不同对象类型共用一套交互</t>
        </is>
      </c>
      <c r="F10" s="7" t="inlineStr">
        <is>
          <t>是真一等公民（专属契约 + 专属页面 + 真发布门），但只有 1 个实例。⚠ 我曾判它是「TS 假阳性」，UX 实测推翻</t>
        </is>
      </c>
      <c r="G10" s="4" t="inlineStr">
        <is>
          <t>◑ 有机制无内容</t>
        </is>
      </c>
      <c r="H10" s="7" t="inlineStr">
        <is>
          <t>机制齐全没人用；我据错误判断差点把它当噪声处理掉</t>
        </is>
      </c>
      <c r="I10" s="7" t="inlineStr">
        <is>
          <t>待排单。先补内容不必改机制</t>
        </is>
      </c>
    </row>
    <row r="11" ht="92" customHeight="1">
      <c r="A11" s="4" t="n">
        <v>7</v>
      </c>
      <c r="B11" s="9" t="inlineStr">
        <is>
          <t>可达</t>
        </is>
      </c>
      <c r="C11" s="4" t="inlineStr">
        <is>
          <t>运营层</t>
        </is>
      </c>
      <c r="D11" s="6" t="inlineStr">
        <is>
          <t>对象视图没有导航入口</t>
        </is>
      </c>
      <c r="E11" s="7" t="inlineStr">
        <is>
          <t>Object View：某个对象的信息与工作流中枢</t>
        </is>
      </c>
      <c r="F11" s="7" t="inlineStr">
        <is>
          <t>页面在（19 属性 + 分组邻居可点），但没有任何导航入口。⚠ 我曾报「0，没有」，UX 实测推翻</t>
        </is>
      </c>
      <c r="G11" s="4" t="inlineStr">
        <is>
          <t>◑ 有页无门</t>
        </is>
      </c>
      <c r="H11" s="7" t="inlineStr">
        <is>
          <t>有能力但用户到不了</t>
        </is>
      </c>
      <c r="I11" s="7" t="inlineStr">
        <is>
          <t>并入 UX 的本体页整合方案</t>
        </is>
      </c>
    </row>
    <row r="12" ht="92" customHeight="1">
      <c r="A12" s="4" t="n">
        <v>8</v>
      </c>
      <c r="B12" s="9" t="inlineStr">
        <is>
          <t>可达</t>
        </is>
      </c>
      <c r="C12" s="4" t="inlineStr">
        <is>
          <t>运营层</t>
        </is>
      </c>
      <c r="D12" s="6" t="inlineStr">
        <is>
          <t>全局搜索只索引对象、不索引页面</t>
        </is>
      </c>
      <c r="E12" s="7" t="inlineStr">
        <is>
          <t>Indexing / Query compute / search syntax：可搜到本体资源</t>
        </is>
      </c>
      <c r="F12" s="7" t="inlineStr">
        <is>
          <t>/a/v1/objects/search 只索引本体对象、只跳 /o/:type/:key ⇒ 结构上不可能命中任何页面。实测搜「经营驾驶舱」0 命中，金丝雀「常州」10 命中</t>
        </is>
      </c>
      <c r="G12" s="4" t="inlineStr">
        <is>
          <t>◑ 只覆盖一半</t>
        </is>
      </c>
      <c r="H12" s="7" t="inlineStr">
        <is>
          <t>我曾把「金丝雀 /v/dash 在搜索里」写进派单——那个金丝雀根本不存在，UX 实测推翻</t>
        </is>
      </c>
      <c r="I12" s="7" t="inlineStr">
        <is>
          <t>结构性缺陷非配置问题，需单独设计</t>
        </is>
      </c>
    </row>
    <row r="13" ht="92" customHeight="1">
      <c r="A13" s="4" t="n">
        <v>9</v>
      </c>
      <c r="B13" s="9" t="inlineStr">
        <is>
          <t>可达</t>
        </is>
      </c>
      <c r="C13" s="4" t="inlineStr">
        <is>
          <t>运营层</t>
        </is>
      </c>
      <c r="D13" s="6" t="inlineStr">
        <is>
          <t>9 条图谱导航只画出 5 张图</t>
        </is>
      </c>
      <c r="E13" s="7" t="inlineStr">
        <is>
          <t>本体图谱视角应各自不同</t>
        </is>
      </c>
      <c r="F13" s="7" t="inlineStr">
        <is>
          <t>对每视角 SVG 取几何+着色+文本的 sha256：graph / graph-all / graph-backbone / graph-mvp 四条指纹同为 9360a84f；graph-solver 与 graph-loop 同为 59f86814。graph-mvp 屏上写「实色高亮 MVP 核心闭环、⊕ 虚线节点」，实测与普通图谱逐字节相同</t>
        </is>
      </c>
      <c r="G13" s="4" t="inlineStr">
        <is>
          <t>🔴 文字承诺了图上没有的东西</t>
        </is>
      </c>
      <c r="H13" s="7" t="inlineStr">
        <is>
          <t>6 条导航只画了 2 张图。金丝雀内建：同一把哈希器产出 5 个不同值，且 graph-source 与 graph 图元数同为 375 而指纹不同 ⇒ 连只换颜色都分得出</t>
        </is>
      </c>
      <c r="I13" s="7" t="inlineStr">
        <is>
          <t>并入 UX 整合方案（列为阻塞 5 条之一）</t>
        </is>
      </c>
    </row>
    <row r="15">
      <c r="A15" s="10" t="inlineStr">
        <is>
          <t>分级口径</t>
        </is>
      </c>
    </row>
    <row r="16">
      <c r="B16" s="11" t="inlineStr">
        <is>
          <t>阻塞</t>
        </is>
      </c>
      <c r="D16" s="12" t="inlineStr">
        <is>
          <t>不补则本体不成其为本体</t>
        </is>
      </c>
    </row>
    <row r="17">
      <c r="B17" s="13" t="inlineStr">
        <is>
          <t>结构</t>
        </is>
      </c>
      <c r="D17" s="12" t="inlineStr">
        <is>
          <t>补了才算企业级</t>
        </is>
      </c>
    </row>
    <row r="18">
      <c r="B18" s="14" t="inlineStr">
        <is>
          <t>可达</t>
        </is>
      </c>
      <c r="D18" s="12" t="inlineStr">
        <is>
          <t>有东西但人找不到</t>
        </is>
      </c>
    </row>
    <row r="20">
      <c r="A20" s="10" t="inlineStr">
        <is>
          <t>计数（公式，非写死）</t>
        </is>
      </c>
    </row>
    <row r="21">
      <c r="B21" s="15" t="inlineStr">
        <is>
          <t>阻塞</t>
        </is>
      </c>
      <c r="C21" s="16">
        <f>COUNTIF(B5:B13,"阻塞")</f>
        <v/>
      </c>
    </row>
    <row r="22">
      <c r="B22" s="15" t="inlineStr">
        <is>
          <t>结构</t>
        </is>
      </c>
      <c r="C22" s="16">
        <f>COUNTIF(B5:B13,"结构")</f>
        <v/>
      </c>
    </row>
    <row r="23">
      <c r="B23" s="15" t="inlineStr">
        <is>
          <t>可达</t>
        </is>
      </c>
      <c r="C23" s="16">
        <f>COUNTIF(B5:B13,"可达")</f>
        <v/>
      </c>
    </row>
    <row r="24">
      <c r="B24" s="15" t="inlineStr">
        <is>
          <t>合计</t>
        </is>
      </c>
      <c r="C24" s="16">
        <f>COUNTA(A5:A13)</f>
        <v/>
      </c>
    </row>
    <row r="26">
      <c r="A26" s="17" t="inlineStr">
        <is>
          <t>⚠ 本表右列有 4 条是 UX 产品经理实测推翻我先前判断后的订正值（#6 #7 #8，以及 #3 的切片跳数）。凡我给的前提与实测冲突处，一律以实测为准。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62" customWidth="1" min="4" max="4"/>
  </cols>
  <sheetData>
    <row r="1">
      <c r="A1" s="18" t="inlineStr">
        <is>
          <t>本平台有、而参考产品本体文档未涵盖的四样</t>
        </is>
      </c>
    </row>
    <row r="2">
      <c r="A2" s="2" t="inlineStr">
        <is>
          <t>——也正是本会话查出问题最多的地方，因为没有先例可抄</t>
        </is>
      </c>
    </row>
    <row r="4">
      <c r="A4" s="19" t="inlineStr">
        <is>
          <t>能力</t>
        </is>
      </c>
      <c r="B4" s="19" t="inlineStr">
        <is>
          <t>它答什么</t>
        </is>
      </c>
      <c r="C4" s="19" t="inlineStr">
        <is>
          <t>本仓实测状态</t>
        </is>
      </c>
      <c r="D4" s="19" t="inlineStr">
        <is>
          <t>问题</t>
        </is>
      </c>
    </row>
    <row r="5" ht="76" customHeight="1">
      <c r="A5" s="20" t="inlineStr">
        <is>
          <t>传导规则 PropagationRule</t>
        </is>
      </c>
      <c r="B5" s="21" t="inlineStr">
        <is>
          <t>A 涨了 B 会怎样</t>
        </is>
      </c>
      <c r="C5" s="21" t="inlineStr">
        <is>
          <t>46 条（本会话 42→46）</t>
        </is>
      </c>
      <c r="D5" s="21" t="inlineStr">
        <is>
          <t>系数原为每条边一个常数、不读用量 ⇒ 碳酸锂与铝箔各涨 15% 得到完全相同的成本压力。已改为按 BOM 成本占比分摊：修后压力之比 19.365764 ＝ BOM 成本之比，精确相等</t>
        </is>
      </c>
    </row>
    <row r="6" ht="76" customHeight="1">
      <c r="A6" s="20" t="inlineStr">
        <is>
          <t>本体切片 Slice</t>
        </is>
      </c>
      <c r="B6" s="21" t="inlineStr">
        <is>
          <t>从一个根出发，多跳取哪些数</t>
        </is>
      </c>
      <c r="C6" s="21" t="inlineStr">
        <is>
          <t>99 条里 4 条真（3–31 跳）+ 95 条零跳存根；本会话新增 6 条真切片</t>
        </is>
      </c>
      <c r="D6" s="21" t="inlineStr">
        <is>
          <t>「99 条」这个数在误导人；订单→物料链中间的 BOM / OrderLine / Supplier 曾全不在任何切片上</t>
        </is>
      </c>
    </row>
    <row r="7" ht="76" customHeight="1">
      <c r="A7" s="20" t="inlineStr">
        <is>
          <t>世界态与推演 TickState</t>
        </is>
      </c>
      <c r="B7" s="21" t="inlineStr">
        <is>
          <t>把时间推进，看链路怎么传</t>
        </is>
      </c>
      <c r="C7" s="21" t="inlineStr">
        <is>
          <t>在，tickDays 最小 1 天</t>
        </is>
      </c>
      <c r="D7" s="21" t="inlineStr">
        <is>
          <t>11 类事件里 10 类不写它；且 4 个状态量格无 clamp、值无上界，毛利绝对值因此不可信</t>
        </is>
      </c>
    </row>
    <row r="8" ht="76" customHeight="1">
      <c r="A8" s="20" t="inlineStr">
        <is>
          <t>改之前的波及面预览</t>
        </is>
      </c>
      <c r="B8" s="21" t="inlineStr">
        <is>
          <t>按下去之前，这一改会影响什么</t>
        </is>
      </c>
      <c r="C8" s="21" t="inlineStr">
        <is>
          <t>已实装：四桶 + 逐跳计数 + unresolved 诚实位</t>
        </is>
      </c>
      <c r="D8" s="21" t="inlineStr">
        <is>
          <t>空集不冒充「没有波及」——这条克制做对了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2026-08-29T08:07:30Z</dcterms:created>
  <dcterms:modified xsi:type="dcterms:W3CDTF">2026-08-29T08:07:30Z</dcterms:modified>
</cp:coreProperties>
</file>